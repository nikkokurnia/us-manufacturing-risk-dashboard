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ikko\OneDrive\Desktop\US_Manufacturing_Supply_Chain_Dashboard\excel_model\"/>
    </mc:Choice>
  </mc:AlternateContent>
  <xr:revisionPtr revIDLastSave="0" documentId="13_ncr:1_{26597F3C-8943-45C3-98CC-37BD9AAEA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/>
  <c r="J14" i="1"/>
  <c r="J15" i="1"/>
  <c r="J11" i="1"/>
  <c r="I12" i="1"/>
  <c r="I13" i="1"/>
  <c r="I14" i="1"/>
  <c r="I15" i="1"/>
  <c r="H12" i="1"/>
  <c r="H13" i="1"/>
  <c r="H14" i="1"/>
  <c r="H15" i="1"/>
  <c r="G12" i="1"/>
  <c r="G13" i="1"/>
  <c r="G14" i="1"/>
  <c r="G15" i="1"/>
  <c r="F12" i="1"/>
  <c r="F13" i="1"/>
  <c r="F14" i="1"/>
  <c r="F15" i="1"/>
  <c r="I11" i="1"/>
  <c r="H11" i="1"/>
  <c r="G11" i="1"/>
  <c r="F11" i="1"/>
</calcChain>
</file>

<file path=xl/sharedStrings.xml><?xml version="1.0" encoding="utf-8"?>
<sst xmlns="http://schemas.openxmlformats.org/spreadsheetml/2006/main" count="31" uniqueCount="31">
  <si>
    <t>Manufacturing Scenario Model</t>
  </si>
  <si>
    <t>Input / Assumption</t>
  </si>
  <si>
    <t>Value</t>
  </si>
  <si>
    <t>Base New Orders</t>
  </si>
  <si>
    <t>Approximate recent monthly demand</t>
  </si>
  <si>
    <t>Base Shipments</t>
  </si>
  <si>
    <t>Approximate recent shipment level</t>
  </si>
  <si>
    <t>Base Inventory</t>
  </si>
  <si>
    <t>Approximate recent inventory level</t>
  </si>
  <si>
    <t>Base Unfilled Orders</t>
  </si>
  <si>
    <t>Approximate recent backlog level</t>
  </si>
  <si>
    <t>Scenario</t>
  </si>
  <si>
    <t>Demand Change</t>
  </si>
  <si>
    <t>Shipment Change</t>
  </si>
  <si>
    <t>Inventory Change</t>
  </si>
  <si>
    <t>Backlog Change</t>
  </si>
  <si>
    <t>Adjusted New Orders</t>
  </si>
  <si>
    <t>Adjusted Shipments</t>
  </si>
  <si>
    <t>Adjusted Inventory</t>
  </si>
  <si>
    <t>Adjusted Backlog</t>
  </si>
  <si>
    <t>Risk Interpretation</t>
  </si>
  <si>
    <t>Base Case</t>
  </si>
  <si>
    <t>Demand Drop</t>
  </si>
  <si>
    <t>Strong Demand</t>
  </si>
  <si>
    <t>Inventory Buildup</t>
  </si>
  <si>
    <t>Backlog Pressure</t>
  </si>
  <si>
    <t>This scenario model tests how changes in demand, shipments, inventory, and backlog affect manufacturing supply chain risk.</t>
  </si>
  <si>
    <t>Higher inventory buildup, falling demand, or rising backlog increases the risk level.</t>
  </si>
  <si>
    <t>Model Purpose:</t>
  </si>
  <si>
    <t>Interpretation: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</si>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</sst>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10" fontId="0" fillId="0" borderId="0" xfId="0" applyNumberFormat="1" applyBorder="1"/>
    <xf numFmtId="0" fontId="0" fillId="0" borderId="5" xfId="0" applyBorder="1" applyAlignment="1">
      <alignment vertical="center" wrapText="1"/>
    </xf>
    <xf numFmtId="10" fontId="0" fillId="0" borderId="1" xfId="0" applyNumberFormat="1" applyBorder="1"/>
    <xf numFmtId="0" fontId="2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5" xfId="0" applyFont="1" applyFill="1" applyBorder="1"/>
    <xf numFmtId="0" fontId="0" fillId="3" borderId="0" xfId="0" applyFill="1" applyBorder="1"/>
    <xf numFmtId="0" fontId="0" fillId="3" borderId="6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5" sqref="G5"/>
    </sheetView>
  </sheetViews>
  <sheetFormatPr defaultRowHeight="15" x14ac:dyDescent="0.25"/>
  <cols>
    <col min="1" max="1" width="28.5703125" bestFit="1" customWidth="1"/>
    <col min="2" max="2" width="15.5703125" bestFit="1" customWidth="1"/>
    <col min="3" max="3" width="35.140625" bestFit="1" customWidth="1"/>
    <col min="4" max="4" width="16.7109375" bestFit="1" customWidth="1"/>
    <col min="5" max="5" width="14.85546875" bestFit="1" customWidth="1"/>
    <col min="6" max="6" width="20.28515625" bestFit="1" customWidth="1"/>
    <col min="7" max="7" width="19.140625" bestFit="1" customWidth="1"/>
    <col min="8" max="8" width="18.28515625" bestFit="1" customWidth="1"/>
    <col min="9" max="9" width="16.28515625" bestFit="1" customWidth="1"/>
    <col min="10" max="10" width="17.85546875" bestFit="1" customWidth="1"/>
    <col min="12" max="12" width="12.5703125" customWidth="1"/>
  </cols>
  <sheetData>
    <row r="1" spans="1:10" x14ac:dyDescent="0.25">
      <c r="A1" s="7" t="s">
        <v>0</v>
      </c>
    </row>
    <row r="3" spans="1:10" x14ac:dyDescent="0.25">
      <c r="A3" s="22" t="s">
        <v>1</v>
      </c>
      <c r="B3" s="7" t="s">
        <v>2</v>
      </c>
      <c r="C3" s="21" t="s">
        <v>30</v>
      </c>
    </row>
    <row r="4" spans="1:10" x14ac:dyDescent="0.25">
      <c r="A4" t="s">
        <v>3</v>
      </c>
      <c r="B4">
        <v>320000</v>
      </c>
      <c r="C4" s="20" t="s">
        <v>4</v>
      </c>
    </row>
    <row r="5" spans="1:10" x14ac:dyDescent="0.25">
      <c r="A5" t="s">
        <v>5</v>
      </c>
      <c r="B5">
        <v>300000</v>
      </c>
      <c r="C5" s="20" t="s">
        <v>6</v>
      </c>
    </row>
    <row r="6" spans="1:10" x14ac:dyDescent="0.25">
      <c r="A6" t="s">
        <v>7</v>
      </c>
      <c r="B6">
        <v>12900</v>
      </c>
      <c r="C6" s="20" t="s">
        <v>8</v>
      </c>
    </row>
    <row r="7" spans="1:10" x14ac:dyDescent="0.25">
      <c r="A7" t="s">
        <v>9</v>
      </c>
      <c r="B7">
        <v>39500</v>
      </c>
      <c r="C7" s="20" t="s">
        <v>10</v>
      </c>
    </row>
    <row r="10" spans="1:10" x14ac:dyDescent="0.25">
      <c r="A10" s="17" t="s">
        <v>11</v>
      </c>
      <c r="B10" s="18" t="s">
        <v>12</v>
      </c>
      <c r="C10" s="18" t="s">
        <v>13</v>
      </c>
      <c r="D10" s="18" t="s">
        <v>14</v>
      </c>
      <c r="E10" s="18" t="s">
        <v>15</v>
      </c>
      <c r="F10" s="18" t="s">
        <v>16</v>
      </c>
      <c r="G10" s="18" t="s">
        <v>17</v>
      </c>
      <c r="H10" s="18" t="s">
        <v>18</v>
      </c>
      <c r="I10" s="18" t="s">
        <v>19</v>
      </c>
      <c r="J10" s="19" t="s">
        <v>20</v>
      </c>
    </row>
    <row r="11" spans="1:10" x14ac:dyDescent="0.25">
      <c r="A11" s="3" t="s">
        <v>21</v>
      </c>
      <c r="B11" s="8">
        <v>0</v>
      </c>
      <c r="C11" s="8">
        <v>0</v>
      </c>
      <c r="D11" s="8">
        <v>0</v>
      </c>
      <c r="E11" s="8">
        <v>0</v>
      </c>
      <c r="F11" s="1">
        <f>$B$4*(1+B11)</f>
        <v>320000</v>
      </c>
      <c r="G11" s="1">
        <f>$B$5*(1+C11)</f>
        <v>300000</v>
      </c>
      <c r="H11" s="1">
        <f>$B$6*(1+D11)</f>
        <v>12900</v>
      </c>
      <c r="I11" s="1">
        <f>$B$7*(1+E11)</f>
        <v>39500</v>
      </c>
      <c r="J11" s="4" t="str">
        <f>IF(OR(B11&lt;-4%,D11&gt;10%,E11&gt;10%),"High Risk",IF(OR(B11&lt;0,D11&gt;5%,E11&gt;5%),"Medium Risk","Low Risk"))</f>
        <v>Low Risk</v>
      </c>
    </row>
    <row r="12" spans="1:10" x14ac:dyDescent="0.25">
      <c r="A12" s="3" t="s">
        <v>22</v>
      </c>
      <c r="B12" s="8">
        <v>-0.05</v>
      </c>
      <c r="C12" s="8">
        <v>-0.02</v>
      </c>
      <c r="D12" s="8">
        <v>0.1</v>
      </c>
      <c r="E12" s="8">
        <v>0.08</v>
      </c>
      <c r="F12" s="1">
        <f t="shared" ref="F12:F15" si="0">$B$4*(1+B12)</f>
        <v>304000</v>
      </c>
      <c r="G12" s="1">
        <f t="shared" ref="G12:G15" si="1">$B$5*(1+C12)</f>
        <v>294000</v>
      </c>
      <c r="H12" s="1">
        <f t="shared" ref="H12:H15" si="2">$B$6*(1+D12)</f>
        <v>14190.000000000002</v>
      </c>
      <c r="I12" s="1">
        <f t="shared" ref="I12:I15" si="3">$B$7*(1+E12)</f>
        <v>42660</v>
      </c>
      <c r="J12" s="4" t="str">
        <f t="shared" ref="J12:J15" si="4">IF(OR(B12&lt;-4%,D12&gt;10%,E12&gt;10%),"High Risk",IF(OR(B12&lt;0,D12&gt;5%,E12&gt;5%),"Medium Risk","Low Risk"))</f>
        <v>High Risk</v>
      </c>
    </row>
    <row r="13" spans="1:10" x14ac:dyDescent="0.25">
      <c r="A13" s="9" t="s">
        <v>23</v>
      </c>
      <c r="B13" s="8">
        <v>0.05</v>
      </c>
      <c r="C13" s="8">
        <v>0.03</v>
      </c>
      <c r="D13" s="8">
        <v>-0.05</v>
      </c>
      <c r="E13" s="8">
        <v>-0.03</v>
      </c>
      <c r="F13" s="1">
        <f t="shared" si="0"/>
        <v>336000</v>
      </c>
      <c r="G13" s="1">
        <f t="shared" si="1"/>
        <v>309000</v>
      </c>
      <c r="H13" s="1">
        <f t="shared" si="2"/>
        <v>12255</v>
      </c>
      <c r="I13" s="1">
        <f t="shared" si="3"/>
        <v>38315</v>
      </c>
      <c r="J13" s="4" t="str">
        <f t="shared" si="4"/>
        <v>Low Risk</v>
      </c>
    </row>
    <row r="14" spans="1:10" x14ac:dyDescent="0.25">
      <c r="A14" s="9" t="s">
        <v>24</v>
      </c>
      <c r="B14" s="8">
        <v>-0.03</v>
      </c>
      <c r="C14" s="8">
        <v>-0.01</v>
      </c>
      <c r="D14" s="8">
        <v>0.15</v>
      </c>
      <c r="E14" s="8">
        <v>0.05</v>
      </c>
      <c r="F14" s="1">
        <f t="shared" si="0"/>
        <v>310400</v>
      </c>
      <c r="G14" s="1">
        <f t="shared" si="1"/>
        <v>297000</v>
      </c>
      <c r="H14" s="1">
        <f t="shared" si="2"/>
        <v>14834.999999999998</v>
      </c>
      <c r="I14" s="1">
        <f t="shared" si="3"/>
        <v>41475</v>
      </c>
      <c r="J14" s="4" t="str">
        <f t="shared" si="4"/>
        <v>High Risk</v>
      </c>
    </row>
    <row r="15" spans="1:10" x14ac:dyDescent="0.25">
      <c r="A15" s="5" t="s">
        <v>25</v>
      </c>
      <c r="B15" s="10">
        <v>0.04</v>
      </c>
      <c r="C15" s="10">
        <v>-0.02</v>
      </c>
      <c r="D15" s="10">
        <v>0.02</v>
      </c>
      <c r="E15" s="10">
        <v>0.12</v>
      </c>
      <c r="F15" s="2">
        <f t="shared" si="0"/>
        <v>332800</v>
      </c>
      <c r="G15" s="2">
        <f t="shared" si="1"/>
        <v>294000</v>
      </c>
      <c r="H15" s="2">
        <f t="shared" si="2"/>
        <v>13158</v>
      </c>
      <c r="I15" s="2">
        <f t="shared" si="3"/>
        <v>44240.000000000007</v>
      </c>
      <c r="J15" s="6" t="str">
        <f t="shared" si="4"/>
        <v>High Risk</v>
      </c>
    </row>
    <row r="18" spans="3:8" x14ac:dyDescent="0.25">
      <c r="C18" s="11" t="s">
        <v>28</v>
      </c>
      <c r="D18" s="12"/>
      <c r="E18" s="12"/>
      <c r="F18" s="12"/>
      <c r="G18" s="12"/>
      <c r="H18" s="13"/>
    </row>
    <row r="19" spans="3:8" x14ac:dyDescent="0.25">
      <c r="C19" s="3" t="s">
        <v>26</v>
      </c>
      <c r="D19" s="1"/>
      <c r="E19" s="1"/>
      <c r="F19" s="1"/>
      <c r="G19" s="1"/>
      <c r="H19" s="4"/>
    </row>
    <row r="20" spans="3:8" x14ac:dyDescent="0.25">
      <c r="C20" s="3"/>
      <c r="D20" s="1"/>
      <c r="E20" s="1"/>
      <c r="F20" s="1"/>
      <c r="G20" s="1"/>
      <c r="H20" s="4"/>
    </row>
    <row r="21" spans="3:8" x14ac:dyDescent="0.25">
      <c r="C21" s="14" t="s">
        <v>29</v>
      </c>
      <c r="D21" s="15"/>
      <c r="E21" s="15"/>
      <c r="F21" s="15"/>
      <c r="G21" s="15"/>
      <c r="H21" s="16"/>
    </row>
    <row r="22" spans="3:8" x14ac:dyDescent="0.25">
      <c r="C22" s="5" t="s">
        <v>27</v>
      </c>
      <c r="D22" s="2"/>
      <c r="E22" s="2"/>
      <c r="F22" s="2"/>
      <c r="G22" s="2"/>
      <c r="H22" s="6"/>
    </row>
  </sheetData>
  <conditionalFormatting sqref="J11:J15">
    <cfRule type="containsText" dxfId="2" priority="1" operator="containsText" text="High Risk">
      <formula>NOT(ISERROR(SEARCH("High Risk",J11)))</formula>
    </cfRule>
    <cfRule type="containsText" dxfId="1" priority="2" operator="containsText" text="Medium Risk">
      <formula>NOT(ISERROR(SEARCH("Medium Risk",J11)))</formula>
    </cfRule>
    <cfRule type="containsText" dxfId="0" priority="3" operator="containsText" text="Low Risk">
      <formula>NOT(ISERROR(SEARCH("Low Risk",J11)))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Kurnia</dc:creator>
  <cp:lastModifiedBy>Nikko F Kurnia</cp:lastModifiedBy>
  <dcterms:created xsi:type="dcterms:W3CDTF">2015-06-05T18:17:20Z</dcterms:created>
  <dcterms:modified xsi:type="dcterms:W3CDTF">2026-05-29T06:04:31Z</dcterms:modified>
</cp:coreProperties>
</file>